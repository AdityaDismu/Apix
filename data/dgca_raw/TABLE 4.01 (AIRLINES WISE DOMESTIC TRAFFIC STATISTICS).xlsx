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Annual Report 2024-25\04 All Scheduled Airline Wise Domestic and International Operations Traffic Statistics\"/>
    </mc:Choice>
  </mc:AlternateContent>
  <bookViews>
    <workbookView showHorizontalScroll="0" showVerticalScroll="0" showSheetTabs="0" xWindow="0" yWindow="0" windowWidth="11550" windowHeight="9030"/>
  </bookViews>
  <sheets>
    <sheet name="Airline wise domestic traffic" sheetId="1" r:id="rId1"/>
  </sheets>
  <definedNames>
    <definedName name="_xlnm.Print_Area" localSheetId="0">'Airline wise domestic traffic'!$A$1:$Q$21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8" i="1"/>
  <c r="Q19" i="1"/>
  <c r="H17" i="1"/>
  <c r="P20" i="1" l="1"/>
  <c r="O20" i="1"/>
  <c r="N20" i="1"/>
  <c r="M20" i="1"/>
  <c r="L20" i="1"/>
  <c r="K20" i="1"/>
  <c r="J20" i="1"/>
  <c r="I20" i="1"/>
  <c r="G20" i="1"/>
  <c r="F20" i="1"/>
  <c r="E20" i="1"/>
  <c r="D20" i="1"/>
  <c r="C20" i="1"/>
  <c r="B20" i="1"/>
  <c r="H10" i="1"/>
  <c r="H13" i="1"/>
  <c r="H14" i="1"/>
  <c r="H15" i="1"/>
  <c r="H19" i="1"/>
  <c r="Q16" i="1" l="1"/>
  <c r="Q15" i="1"/>
  <c r="Q14" i="1"/>
  <c r="Q13" i="1"/>
  <c r="Q12" i="1"/>
  <c r="Q11" i="1"/>
  <c r="Q10" i="1"/>
  <c r="Q8" i="1"/>
  <c r="Q7" i="1"/>
  <c r="Q6" i="1"/>
  <c r="H8" i="1"/>
  <c r="H7" i="1"/>
  <c r="H6" i="1"/>
  <c r="H20" i="1" l="1"/>
  <c r="Q20" i="1"/>
</calcChain>
</file>

<file path=xl/sharedStrings.xml><?xml version="1.0" encoding="utf-8"?>
<sst xmlns="http://schemas.openxmlformats.org/spreadsheetml/2006/main" count="41" uniqueCount="39">
  <si>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</si>
  <si>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</si>
  <si>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</si>
  <si>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</si>
  <si>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</si>
  <si>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</si>
  <si>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</si>
  <si>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</si>
  <si>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</si>
  <si>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</si>
  <si>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</si>
  <si>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</si>
  <si>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</si>
  <si>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</si>
  <si>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</si>
  <si>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</si>
  <si>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</si>
  <si>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</si>
  <si>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</si>
  <si>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AIR INDIA</t>
  </si>
  <si>
    <t>AIR INDIA EXPRESS</t>
  </si>
  <si>
    <t>ALLIANCE AIR</t>
  </si>
  <si>
    <t>BLUEDART</t>
  </si>
  <si>
    <t>INDIGO</t>
  </si>
  <si>
    <t>SPICEJET</t>
  </si>
  <si>
    <t>VISTARA</t>
  </si>
  <si>
    <t>YEAR TOTAL</t>
  </si>
  <si>
    <t>STAR AIR</t>
  </si>
  <si>
    <t>FLYBIG</t>
  </si>
  <si>
    <t>QUIKJET CARGO</t>
  </si>
  <si>
    <t>INDIA ONE AIR</t>
  </si>
  <si>
    <t>AKASA AIR</t>
  </si>
  <si>
    <t>SOURCE:  ICAO ATR FORM 'A' FURNISHED BY ALL SCHEDULED INDIAN AIRLINES</t>
  </si>
  <si>
    <t>FLY91</t>
  </si>
  <si>
    <t>AIX CONNECT</t>
  </si>
  <si>
    <t xml:space="preserve">तालिका  4.01 ( अनुसूचित भारतीय एयरलाइन्स) </t>
  </si>
  <si>
    <t>Table 4.01 ( SCHEDULED INDIAN AIRLINES)</t>
  </si>
  <si>
    <t>AIRLINEWISE TRAFFIC AND OPERATING STATISTICS OF SCHEDULED INDIAN AIRLINES ON SCHEDULED DOMESTIC SERVICES DURING 2024-25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</si>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</sst>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164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2" fillId="4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2" fillId="4" borderId="1" xfId="3" applyNumberFormat="1" applyFill="1" applyBorder="1" applyAlignment="1">
      <alignment horizontal="right" vertical="center"/>
    </xf>
    <xf numFmtId="166" fontId="0" fillId="0" borderId="1" xfId="3" applyNumberFormat="1" applyFont="1" applyBorder="1" applyAlignment="1">
      <alignment horizontal="right" vertical="center"/>
    </xf>
    <xf numFmtId="165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right" vertical="center"/>
    </xf>
    <xf numFmtId="166" fontId="0" fillId="0" borderId="1" xfId="3" applyNumberFormat="1" applyFont="1" applyBorder="1" applyAlignment="1">
      <alignment horizontal="center" vertical="center"/>
    </xf>
    <xf numFmtId="0" fontId="4" fillId="3" borderId="1" xfId="1" applyFont="1" applyBorder="1" applyAlignment="1" applyProtection="1">
      <alignment horizontal="center" vertical="center" textRotation="90" wrapText="1"/>
    </xf>
    <xf numFmtId="167" fontId="2" fillId="6" borderId="1" xfId="4" applyNumberFormat="1" applyFill="1" applyBorder="1" applyAlignment="1">
      <alignment horizontal="center" vertical="center"/>
    </xf>
    <xf numFmtId="166" fontId="2" fillId="6" borderId="1" xfId="3" applyNumberFormat="1" applyFill="1" applyBorder="1" applyAlignment="1">
      <alignment horizontal="right" vertical="center"/>
    </xf>
    <xf numFmtId="167" fontId="2" fillId="0" borderId="1" xfId="4" applyNumberFormat="1" applyFill="1" applyBorder="1" applyAlignment="1">
      <alignment horizontal="center" vertical="center"/>
    </xf>
    <xf numFmtId="166" fontId="2" fillId="0" borderId="1" xfId="3" applyNumberFormat="1" applyFill="1" applyBorder="1" applyAlignment="1">
      <alignment horizontal="right" vertical="center"/>
    </xf>
    <xf numFmtId="0" fontId="5" fillId="6" borderId="1" xfId="2" applyFont="1" applyFill="1" applyBorder="1" applyAlignment="1">
      <alignment horizontal="center" vertical="center"/>
    </xf>
    <xf numFmtId="165" fontId="5" fillId="6" borderId="1" xfId="3" applyNumberFormat="1" applyFont="1" applyFill="1" applyBorder="1" applyAlignment="1">
      <alignment horizontal="right" vertical="center"/>
    </xf>
    <xf numFmtId="166" fontId="5" fillId="6" borderId="1" xfId="3" applyNumberFormat="1" applyFont="1" applyFill="1" applyBorder="1" applyAlignment="1">
      <alignment horizontal="right" vertical="center"/>
    </xf>
    <xf numFmtId="167" fontId="5" fillId="6" borderId="1" xfId="4" applyNumberFormat="1" applyFont="1" applyFill="1" applyBorder="1" applyAlignment="1">
      <alignment horizontal="center" vertical="center"/>
    </xf>
    <xf numFmtId="166" fontId="4" fillId="7" borderId="1" xfId="3" applyNumberFormat="1" applyFont="1" applyFill="1" applyBorder="1" applyAlignment="1">
      <alignment horizontal="right" vertical="center"/>
    </xf>
    <xf numFmtId="0" fontId="0" fillId="4" borderId="1" xfId="2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3" borderId="1" xfId="1" applyFont="1" applyBorder="1" applyAlignment="1" applyProtection="1">
      <alignment horizontal="center" vertical="center" textRotation="90" wrapText="1"/>
    </xf>
    <xf numFmtId="0" fontId="4" fillId="3" borderId="1" xfId="1" applyFont="1" applyBorder="1" applyAlignment="1">
      <alignment textRotation="90"/>
    </xf>
    <xf numFmtId="0" fontId="4" fillId="4" borderId="1" xfId="2" applyFont="1" applyBorder="1" applyAlignment="1">
      <alignment horizontal="center" vertical="center" wrapText="1"/>
    </xf>
    <xf numFmtId="0" fontId="4" fillId="4" borderId="1" xfId="2" quotePrefix="1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3" borderId="1" xfId="1" applyFont="1" applyBorder="1" applyAlignment="1" applyProtection="1">
      <alignment horizontal="center" vertical="center" wrapText="1"/>
    </xf>
    <xf numFmtId="0" fontId="4" fillId="3" borderId="1" xfId="1" applyFont="1" applyBorder="1"/>
  </cellXfs>
  <cellStyles count="5">
    <cellStyle name="20% - Accent2" xfId="4" builtinId="34"/>
    <cellStyle name="40% - Accent2" xfId="2" builtinId="35"/>
    <cellStyle name="Accent2" xfId="1" builtinId="33"/>
    <cellStyle name="Comma" xfId="3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T21"/>
  <sheetViews>
    <sheetView tabSelected="1" view="pageBreakPreview" zoomScale="85" zoomScaleNormal="80" zoomScaleSheetLayoutView="85" workbookViewId="0">
      <selection activeCell="M12" sqref="M12"/>
    </sheetView>
  </sheetViews>
  <sheetFormatPr defaultColWidth="9.140625" defaultRowHeight="15" x14ac:dyDescent="0.25"/>
  <cols>
    <col min="1" max="1" width="19.140625" style="1" customWidth="1"/>
    <col min="2" max="2" width="12.140625" style="1" customWidth="1"/>
    <col min="3" max="3" width="11" style="1" customWidth="1"/>
    <col min="4" max="4" width="11.85546875" style="1" customWidth="1"/>
    <col min="5" max="5" width="14" style="1" bestFit="1" customWidth="1"/>
    <col min="6" max="6" width="13.28515625" style="1" bestFit="1" customWidth="1"/>
    <col min="7" max="7" width="13.140625" style="1" customWidth="1"/>
    <col min="8" max="8" width="7.85546875" style="1" customWidth="1"/>
    <col min="9" max="9" width="12.85546875" style="1" bestFit="1" customWidth="1"/>
    <col min="10" max="10" width="10.85546875" style="1" customWidth="1"/>
    <col min="11" max="11" width="12.85546875" style="1" bestFit="1" customWidth="1"/>
    <col min="12" max="12" width="12.140625" style="1" customWidth="1"/>
    <col min="13" max="13" width="11.7109375" style="1" customWidth="1"/>
    <col min="14" max="14" width="9.28515625" style="1" customWidth="1"/>
    <col min="15" max="16" width="11.85546875" style="1" customWidth="1"/>
    <col min="17" max="17" width="8.140625" style="1" customWidth="1"/>
    <col min="18" max="16384" width="9.140625" style="1"/>
  </cols>
  <sheetData>
    <row r="1" spans="1:20" ht="18.75" customHeight="1" x14ac:dyDescent="0.25">
      <c r="A1" s="23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20" ht="18.75" customHeight="1" x14ac:dyDescent="0.25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20" ht="18.75" customHeight="1" x14ac:dyDescent="0.25">
      <c r="A3" s="26" t="s">
        <v>37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20" ht="21" customHeight="1" x14ac:dyDescent="0.25">
      <c r="A4" s="26" t="s">
        <v>18</v>
      </c>
      <c r="B4" s="26" t="s">
        <v>0</v>
      </c>
      <c r="C4" s="26"/>
      <c r="D4" s="26"/>
      <c r="E4" s="26" t="s">
        <v>1</v>
      </c>
      <c r="F4" s="27"/>
      <c r="G4" s="21" t="s">
        <v>2</v>
      </c>
      <c r="H4" s="21" t="s">
        <v>3</v>
      </c>
      <c r="I4" s="26" t="s">
        <v>4</v>
      </c>
      <c r="J4" s="26"/>
      <c r="K4" s="26"/>
      <c r="L4" s="26" t="s">
        <v>5</v>
      </c>
      <c r="M4" s="26"/>
      <c r="N4" s="26"/>
      <c r="O4" s="26"/>
      <c r="P4" s="21" t="s">
        <v>6</v>
      </c>
      <c r="Q4" s="21" t="s">
        <v>7</v>
      </c>
    </row>
    <row r="5" spans="1:20" ht="139.5" customHeight="1" x14ac:dyDescent="0.25">
      <c r="A5" s="26"/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22"/>
      <c r="H5" s="22"/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14</v>
      </c>
      <c r="O5" s="9" t="s">
        <v>15</v>
      </c>
      <c r="P5" s="22"/>
      <c r="Q5" s="22"/>
    </row>
    <row r="6" spans="1:20" ht="20.100000000000001" customHeight="1" x14ac:dyDescent="0.25">
      <c r="A6" s="19" t="s">
        <v>34</v>
      </c>
      <c r="B6" s="6">
        <v>24703</v>
      </c>
      <c r="C6" s="6">
        <v>47015.766666666663</v>
      </c>
      <c r="D6" s="6">
        <v>25652.010999999991</v>
      </c>
      <c r="E6" s="6">
        <v>3760720</v>
      </c>
      <c r="F6" s="6">
        <v>3959.8990619999995</v>
      </c>
      <c r="G6" s="6">
        <v>4624.8928559999995</v>
      </c>
      <c r="H6" s="10">
        <f t="shared" ref="H6:H20" si="0">F6/G6*100</f>
        <v>85.621422707397741</v>
      </c>
      <c r="I6" s="4">
        <v>15558.880930000001</v>
      </c>
      <c r="J6" s="4">
        <v>1034.0686700000001</v>
      </c>
      <c r="K6" s="4">
        <v>16592.9496</v>
      </c>
      <c r="L6" s="4">
        <v>377.24559994999987</v>
      </c>
      <c r="M6" s="4">
        <v>19.841376858530001</v>
      </c>
      <c r="N6" s="4">
        <v>1.0045964027099998</v>
      </c>
      <c r="O6" s="4">
        <v>398.09157321123985</v>
      </c>
      <c r="P6" s="4">
        <v>513.04021999999998</v>
      </c>
      <c r="Q6" s="11">
        <f t="shared" ref="Q6:Q20" si="1">O6/P6*100</f>
        <v>77.594612993741478</v>
      </c>
    </row>
    <row r="7" spans="1:20" ht="20.100000000000001" customHeight="1" x14ac:dyDescent="0.25">
      <c r="A7" s="3" t="s">
        <v>19</v>
      </c>
      <c r="B7" s="7">
        <v>152250</v>
      </c>
      <c r="C7" s="7">
        <v>305347.02100000012</v>
      </c>
      <c r="D7" s="7">
        <v>159509.65999999997</v>
      </c>
      <c r="E7" s="7">
        <v>22495187</v>
      </c>
      <c r="F7" s="5">
        <v>22985.348938000003</v>
      </c>
      <c r="G7" s="7">
        <v>27435.413855000003</v>
      </c>
      <c r="H7" s="12">
        <f t="shared" si="0"/>
        <v>83.779851324571908</v>
      </c>
      <c r="I7" s="8">
        <v>125011.81990000003</v>
      </c>
      <c r="J7" s="8">
        <v>5802.5906054179841</v>
      </c>
      <c r="K7" s="8">
        <v>130814.41050541803</v>
      </c>
      <c r="L7" s="5">
        <v>2145.6168119759991</v>
      </c>
      <c r="M7" s="5">
        <v>158.35874971350006</v>
      </c>
      <c r="N7" s="5">
        <v>5.9464564285453863</v>
      </c>
      <c r="O7" s="5">
        <v>2309.9220181180449</v>
      </c>
      <c r="P7" s="18">
        <v>2667.8685533149974</v>
      </c>
      <c r="Q7" s="13">
        <f t="shared" si="1"/>
        <v>86.583052049090611</v>
      </c>
    </row>
    <row r="8" spans="1:20" ht="20.100000000000001" customHeight="1" x14ac:dyDescent="0.25">
      <c r="A8" s="2" t="s">
        <v>20</v>
      </c>
      <c r="B8" s="6">
        <v>71406</v>
      </c>
      <c r="C8" s="6">
        <v>132609.28333333338</v>
      </c>
      <c r="D8" s="6">
        <v>70287.508893021411</v>
      </c>
      <c r="E8" s="6">
        <v>10492062</v>
      </c>
      <c r="F8" s="6">
        <v>10589.015313764829</v>
      </c>
      <c r="G8" s="6">
        <v>12629.984085795255</v>
      </c>
      <c r="H8" s="10">
        <f t="shared" si="0"/>
        <v>83.840290231831162</v>
      </c>
      <c r="I8" s="4">
        <v>29711.115643121393</v>
      </c>
      <c r="J8" s="4">
        <v>174.44065000000003</v>
      </c>
      <c r="K8" s="4">
        <v>29885.556293121397</v>
      </c>
      <c r="L8" s="4">
        <v>1034.5205173764823</v>
      </c>
      <c r="M8" s="4">
        <v>34.060909704804395</v>
      </c>
      <c r="N8" s="4">
        <v>0.1355868130110387</v>
      </c>
      <c r="O8" s="4">
        <v>1068.7170138942977</v>
      </c>
      <c r="P8" s="4">
        <v>1420.473617860428</v>
      </c>
      <c r="Q8" s="11">
        <f t="shared" si="1"/>
        <v>75.236667577398606</v>
      </c>
    </row>
    <row r="9" spans="1:20" ht="20.100000000000001" customHeight="1" x14ac:dyDescent="0.25">
      <c r="A9" s="3" t="s">
        <v>31</v>
      </c>
      <c r="B9" s="7">
        <v>45836</v>
      </c>
      <c r="C9" s="7">
        <v>100471.03599333334</v>
      </c>
      <c r="D9" s="7">
        <v>51770.507999999987</v>
      </c>
      <c r="E9" s="7">
        <v>7683824</v>
      </c>
      <c r="F9" s="5">
        <v>8732.9659969999993</v>
      </c>
      <c r="G9" s="7">
        <v>9695.0124010000018</v>
      </c>
      <c r="H9" s="12"/>
      <c r="I9" s="8">
        <v>52418.14871999999</v>
      </c>
      <c r="J9" s="8">
        <v>2601.09337</v>
      </c>
      <c r="K9" s="8">
        <v>55019.242090000007</v>
      </c>
      <c r="L9" s="5">
        <v>722.85113022999985</v>
      </c>
      <c r="M9" s="5">
        <v>59.792630620000011</v>
      </c>
      <c r="N9" s="5">
        <v>3.18401494</v>
      </c>
      <c r="O9" s="5">
        <v>785.82777578999992</v>
      </c>
      <c r="P9" s="18">
        <v>1061.606037</v>
      </c>
      <c r="Q9" s="13"/>
    </row>
    <row r="10" spans="1:20" ht="20.100000000000001" customHeight="1" x14ac:dyDescent="0.25">
      <c r="A10" s="2" t="s">
        <v>21</v>
      </c>
      <c r="B10" s="6">
        <v>27751</v>
      </c>
      <c r="C10" s="6">
        <v>37803</v>
      </c>
      <c r="D10" s="6">
        <v>10461.211000000001</v>
      </c>
      <c r="E10" s="6">
        <v>1284387</v>
      </c>
      <c r="F10" s="6">
        <v>512.94493499999987</v>
      </c>
      <c r="G10" s="6">
        <v>667.51790799999992</v>
      </c>
      <c r="H10" s="10">
        <f t="shared" si="0"/>
        <v>76.843621549700785</v>
      </c>
      <c r="I10" s="4">
        <v>25.584000000000003</v>
      </c>
      <c r="J10" s="4">
        <v>0.35399999999999998</v>
      </c>
      <c r="K10" s="4">
        <v>25.938000000000002</v>
      </c>
      <c r="L10" s="4">
        <v>46.681241284006553</v>
      </c>
      <c r="M10" s="4">
        <v>1.1999282667170007E-2</v>
      </c>
      <c r="N10" s="4">
        <v>1.4407800000000001E-4</v>
      </c>
      <c r="O10" s="4">
        <v>46.693384644673721</v>
      </c>
      <c r="P10" s="4">
        <v>67.014881799999998</v>
      </c>
      <c r="Q10" s="11">
        <f t="shared" si="1"/>
        <v>69.676142657426468</v>
      </c>
    </row>
    <row r="11" spans="1:20" ht="20.100000000000001" customHeight="1" x14ac:dyDescent="0.25">
      <c r="A11" s="3" t="s">
        <v>22</v>
      </c>
      <c r="B11" s="7">
        <v>7305</v>
      </c>
      <c r="C11" s="7">
        <v>10369.082593333334</v>
      </c>
      <c r="D11" s="7">
        <v>7404</v>
      </c>
      <c r="E11" s="7"/>
      <c r="F11" s="5"/>
      <c r="G11" s="7"/>
      <c r="H11" s="12"/>
      <c r="I11" s="8">
        <v>137470.22899999996</v>
      </c>
      <c r="J11" s="8"/>
      <c r="K11" s="8">
        <v>137470.22899999996</v>
      </c>
      <c r="L11" s="5">
        <v>0</v>
      </c>
      <c r="M11" s="5">
        <v>141.41300000000001</v>
      </c>
      <c r="N11" s="5">
        <v>0</v>
      </c>
      <c r="O11" s="5">
        <v>141.41300000000001</v>
      </c>
      <c r="P11" s="18">
        <v>209.41800000000001</v>
      </c>
      <c r="Q11" s="13">
        <f t="shared" si="1"/>
        <v>67.526669149738808</v>
      </c>
    </row>
    <row r="12" spans="1:20" ht="20.100000000000001" customHeight="1" x14ac:dyDescent="0.25">
      <c r="A12" s="2" t="s">
        <v>33</v>
      </c>
      <c r="B12" s="6">
        <v>3682</v>
      </c>
      <c r="C12" s="6">
        <v>6060.1329999999998</v>
      </c>
      <c r="D12" s="6">
        <v>1816.0760000000002</v>
      </c>
      <c r="E12" s="6">
        <v>170523</v>
      </c>
      <c r="F12" s="6">
        <v>82.444710999999984</v>
      </c>
      <c r="G12" s="6">
        <v>119.4679463980392</v>
      </c>
      <c r="H12" s="10"/>
      <c r="I12" s="4">
        <v>0</v>
      </c>
      <c r="J12" s="4">
        <v>0</v>
      </c>
      <c r="K12" s="4">
        <v>0</v>
      </c>
      <c r="L12" s="4">
        <v>6.8021752739999988</v>
      </c>
      <c r="M12" s="4">
        <v>0</v>
      </c>
      <c r="N12" s="4">
        <v>0</v>
      </c>
      <c r="O12" s="4">
        <v>6.8021752739999988</v>
      </c>
      <c r="P12" s="4">
        <v>10.037027606000001</v>
      </c>
      <c r="Q12" s="11">
        <f t="shared" si="1"/>
        <v>67.770813641418599</v>
      </c>
      <c r="T12" s="1" t="s">
        <v>38</v>
      </c>
    </row>
    <row r="13" spans="1:20" ht="20.100000000000001" customHeight="1" x14ac:dyDescent="0.25">
      <c r="A13" s="3" t="s">
        <v>28</v>
      </c>
      <c r="B13" s="7">
        <v>2991</v>
      </c>
      <c r="C13" s="7">
        <v>3634.4932999999996</v>
      </c>
      <c r="D13" s="7">
        <v>697.48599999999999</v>
      </c>
      <c r="E13" s="7">
        <v>16992</v>
      </c>
      <c r="F13" s="5">
        <v>4.0435619999999997</v>
      </c>
      <c r="G13" s="7">
        <v>13.258120000000003</v>
      </c>
      <c r="H13" s="12">
        <f t="shared" si="0"/>
        <v>30.498758496679763</v>
      </c>
      <c r="I13" s="8">
        <v>0</v>
      </c>
      <c r="J13" s="8">
        <v>0</v>
      </c>
      <c r="K13" s="8">
        <v>0</v>
      </c>
      <c r="L13" s="5">
        <v>0.30345452500000003</v>
      </c>
      <c r="M13" s="5">
        <v>0</v>
      </c>
      <c r="N13" s="5">
        <v>0</v>
      </c>
      <c r="O13" s="5">
        <v>0.30345452500000003</v>
      </c>
      <c r="P13" s="18">
        <v>4.1864400000000002</v>
      </c>
      <c r="Q13" s="13">
        <f t="shared" si="1"/>
        <v>7.2485100706089183</v>
      </c>
    </row>
    <row r="14" spans="1:20" ht="20.100000000000001" customHeight="1" x14ac:dyDescent="0.25">
      <c r="A14" s="2" t="s">
        <v>30</v>
      </c>
      <c r="B14" s="6">
        <v>4178</v>
      </c>
      <c r="C14" s="6">
        <v>5735.1959666666671</v>
      </c>
      <c r="D14" s="6">
        <v>1264.9720000000002</v>
      </c>
      <c r="E14" s="6">
        <v>28615</v>
      </c>
      <c r="F14" s="6">
        <v>9.0969619999999995</v>
      </c>
      <c r="G14" s="6">
        <v>11.384803999999999</v>
      </c>
      <c r="H14" s="10">
        <f t="shared" si="0"/>
        <v>79.904423475362435</v>
      </c>
      <c r="I14" s="4">
        <v>0</v>
      </c>
      <c r="J14" s="4">
        <v>0</v>
      </c>
      <c r="K14" s="4">
        <v>0</v>
      </c>
      <c r="L14" s="4">
        <v>0.81872674999999995</v>
      </c>
      <c r="M14" s="4">
        <v>0</v>
      </c>
      <c r="N14" s="4">
        <v>0</v>
      </c>
      <c r="O14" s="4">
        <v>0.81872674999999995</v>
      </c>
      <c r="P14" s="4">
        <v>1.0246272299999999</v>
      </c>
      <c r="Q14" s="11">
        <f t="shared" si="1"/>
        <v>79.904840124149345</v>
      </c>
    </row>
    <row r="15" spans="1:20" ht="20.100000000000001" customHeight="1" x14ac:dyDescent="0.25">
      <c r="A15" s="3" t="s">
        <v>23</v>
      </c>
      <c r="B15" s="7">
        <v>682317</v>
      </c>
      <c r="C15" s="7">
        <v>1204508.05</v>
      </c>
      <c r="D15" s="7">
        <v>589609.58799999999</v>
      </c>
      <c r="E15" s="7">
        <v>104247077</v>
      </c>
      <c r="F15" s="5">
        <v>98051.481999999989</v>
      </c>
      <c r="G15" s="7">
        <v>113020.11900000001</v>
      </c>
      <c r="H15" s="12">
        <f t="shared" si="0"/>
        <v>86.755776641856116</v>
      </c>
      <c r="I15" s="8">
        <v>295992.92200000002</v>
      </c>
      <c r="J15" s="8">
        <v>30647.675999999999</v>
      </c>
      <c r="K15" s="8">
        <v>326640.59799999994</v>
      </c>
      <c r="L15" s="5">
        <v>8823.5807659999991</v>
      </c>
      <c r="M15" s="5">
        <v>349.95846500000005</v>
      </c>
      <c r="N15" s="5">
        <v>27.338317000000004</v>
      </c>
      <c r="O15" s="5">
        <v>9200.8775479999986</v>
      </c>
      <c r="P15" s="18">
        <v>12589.958226999999</v>
      </c>
      <c r="Q15" s="13">
        <f t="shared" si="1"/>
        <v>73.081080827322424</v>
      </c>
    </row>
    <row r="16" spans="1:20" ht="20.100000000000001" customHeight="1" x14ac:dyDescent="0.25">
      <c r="A16" s="2" t="s">
        <v>29</v>
      </c>
      <c r="B16" s="6">
        <v>1554</v>
      </c>
      <c r="C16" s="6">
        <v>3295.4500000000003</v>
      </c>
      <c r="D16" s="6">
        <v>1768.3319999999999</v>
      </c>
      <c r="E16" s="6"/>
      <c r="F16" s="6"/>
      <c r="G16" s="6"/>
      <c r="H16" s="10"/>
      <c r="I16" s="4">
        <v>16151.160299999998</v>
      </c>
      <c r="J16" s="4">
        <v>0</v>
      </c>
      <c r="K16" s="4">
        <v>16151.160299999998</v>
      </c>
      <c r="L16" s="4">
        <v>0</v>
      </c>
      <c r="M16" s="4">
        <v>18.643648144419998</v>
      </c>
      <c r="N16" s="4">
        <v>0</v>
      </c>
      <c r="O16" s="4">
        <v>18.643648144419998</v>
      </c>
      <c r="P16" s="4">
        <v>38.903304000000006</v>
      </c>
      <c r="Q16" s="11">
        <f t="shared" si="1"/>
        <v>47.923045673498571</v>
      </c>
    </row>
    <row r="17" spans="1:17" ht="20.100000000000001" customHeight="1" x14ac:dyDescent="0.25">
      <c r="A17" s="3" t="s">
        <v>24</v>
      </c>
      <c r="B17" s="7">
        <v>41391</v>
      </c>
      <c r="C17" s="7">
        <v>62402.85</v>
      </c>
      <c r="D17" s="7">
        <v>36750.271999999997</v>
      </c>
      <c r="E17" s="7">
        <v>5305995</v>
      </c>
      <c r="F17" s="5">
        <v>5200.66878</v>
      </c>
      <c r="G17" s="7">
        <v>5909.5548410000001</v>
      </c>
      <c r="H17" s="12">
        <f t="shared" si="0"/>
        <v>88.004408452531692</v>
      </c>
      <c r="I17" s="8">
        <v>22945.236740000004</v>
      </c>
      <c r="J17" s="8">
        <v>0</v>
      </c>
      <c r="K17" s="8">
        <v>22945.236740000004</v>
      </c>
      <c r="L17" s="5">
        <v>390.05015850000007</v>
      </c>
      <c r="M17" s="5">
        <v>26.074541938079999</v>
      </c>
      <c r="N17" s="5">
        <v>0</v>
      </c>
      <c r="O17" s="5">
        <v>416.12470043808003</v>
      </c>
      <c r="P17" s="18">
        <v>523.7475915</v>
      </c>
      <c r="Q17" s="13">
        <f>O17/P17*100</f>
        <v>79.451382152671925</v>
      </c>
    </row>
    <row r="18" spans="1:17" ht="20.100000000000001" customHeight="1" x14ac:dyDescent="0.25">
      <c r="A18" s="2" t="s">
        <v>27</v>
      </c>
      <c r="B18" s="6">
        <v>14120</v>
      </c>
      <c r="C18" s="6">
        <v>19549.91</v>
      </c>
      <c r="D18" s="6">
        <v>8546.125</v>
      </c>
      <c r="E18" s="6">
        <v>677627</v>
      </c>
      <c r="F18" s="6">
        <v>415.66007281976368</v>
      </c>
      <c r="G18" s="6">
        <v>561.04338964847705</v>
      </c>
      <c r="H18" s="10"/>
      <c r="I18" s="4"/>
      <c r="J18" s="4"/>
      <c r="K18" s="4"/>
      <c r="L18" s="4">
        <v>37.512986333778734</v>
      </c>
      <c r="M18" s="4">
        <v>0</v>
      </c>
      <c r="N18" s="4">
        <v>0</v>
      </c>
      <c r="O18" s="4">
        <v>37.512986333778734</v>
      </c>
      <c r="P18" s="4">
        <v>50.494406808362911</v>
      </c>
      <c r="Q18" s="11">
        <f t="shared" si="1"/>
        <v>74.291369489988369</v>
      </c>
    </row>
    <row r="19" spans="1:17" ht="20.100000000000001" customHeight="1" x14ac:dyDescent="0.25">
      <c r="A19" s="3" t="s">
        <v>25</v>
      </c>
      <c r="B19" s="7">
        <v>61957</v>
      </c>
      <c r="C19" s="7">
        <v>98594.409966666673</v>
      </c>
      <c r="D19" s="7">
        <v>65916.138000000006</v>
      </c>
      <c r="E19" s="7">
        <v>9378683</v>
      </c>
      <c r="F19" s="5">
        <v>9999.9473560000006</v>
      </c>
      <c r="G19" s="7">
        <v>11109.890874000001</v>
      </c>
      <c r="H19" s="12">
        <f t="shared" si="0"/>
        <v>90.009411158146008</v>
      </c>
      <c r="I19" s="8">
        <v>50423.818549999996</v>
      </c>
      <c r="J19" s="8">
        <v>2830.6636800000001</v>
      </c>
      <c r="K19" s="8">
        <v>53254.482230000009</v>
      </c>
      <c r="L19" s="5">
        <v>899.99111312999992</v>
      </c>
      <c r="M19" s="5">
        <v>62.940587387409998</v>
      </c>
      <c r="N19" s="5">
        <v>3.3643376139699996</v>
      </c>
      <c r="O19" s="5">
        <v>966.29603813137999</v>
      </c>
      <c r="P19" s="18">
        <v>1160.7091368169997</v>
      </c>
      <c r="Q19" s="13">
        <f t="shared" si="1"/>
        <v>83.250489505169512</v>
      </c>
    </row>
    <row r="20" spans="1:17" ht="20.100000000000001" customHeight="1" x14ac:dyDescent="0.25">
      <c r="A20" s="14" t="s">
        <v>26</v>
      </c>
      <c r="B20" s="15">
        <f t="shared" ref="B20:G20" si="2">SUM(B6:B19)</f>
        <v>1141441</v>
      </c>
      <c r="C20" s="15">
        <f t="shared" si="2"/>
        <v>2037395.6818200003</v>
      </c>
      <c r="D20" s="15">
        <f t="shared" si="2"/>
        <v>1031453.8878930215</v>
      </c>
      <c r="E20" s="15">
        <f t="shared" si="2"/>
        <v>165541692</v>
      </c>
      <c r="F20" s="16">
        <f t="shared" si="2"/>
        <v>160543.51768958458</v>
      </c>
      <c r="G20" s="16">
        <f t="shared" si="2"/>
        <v>185797.54008084181</v>
      </c>
      <c r="H20" s="17">
        <f t="shared" si="0"/>
        <v>86.407773547341364</v>
      </c>
      <c r="I20" s="16">
        <f t="shared" ref="I20:P20" si="3">SUM(I6:I19)</f>
        <v>745708.91578312137</v>
      </c>
      <c r="J20" s="16">
        <f t="shared" si="3"/>
        <v>43090.886975417983</v>
      </c>
      <c r="K20" s="16">
        <f t="shared" si="3"/>
        <v>788799.80275853933</v>
      </c>
      <c r="L20" s="16">
        <f t="shared" si="3"/>
        <v>14485.974681329264</v>
      </c>
      <c r="M20" s="16">
        <f t="shared" si="3"/>
        <v>871.09590864941163</v>
      </c>
      <c r="N20" s="16">
        <f t="shared" si="3"/>
        <v>40.973453276236427</v>
      </c>
      <c r="O20" s="16">
        <f t="shared" si="3"/>
        <v>15398.044043254913</v>
      </c>
      <c r="P20" s="16">
        <f t="shared" si="3"/>
        <v>20318.482070936789</v>
      </c>
      <c r="Q20" s="16">
        <f t="shared" si="1"/>
        <v>75.783436919630986</v>
      </c>
    </row>
    <row r="21" spans="1:17" ht="17.100000000000001" customHeight="1" x14ac:dyDescent="0.25">
      <c r="A21" s="20" t="s">
        <v>32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</sheetData>
  <mergeCells count="13">
    <mergeCell ref="A21:Q21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69" orientation="landscape" r:id="rId1"/>
  <ignoredErrors>
    <ignoredError sqref="H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Airline wise domestic traffic</vt:lpstr>
      <vt:lpstr>'Airline wise domestic traffic'!Print_Area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2025-11-24T12:19:26Z</cp:lastPrinted>
  <dcterms:created xsi:type="dcterms:W3CDTF">2018-10-29T04:00:07Z</dcterms:created>
  <dcterms:modified xsi:type="dcterms:W3CDTF">2025-11-24T12:19:31Z</dcterms:modified>
</cp:coreProperties>
</file>